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Transactions" state="visible" r:id="rId4"/>
  </sheets>
  <definedNames>
    <definedName name="Expenses">'Bank Transactions'!$D$2:$D$12</definedName>
  </definedNames>
  <calcPr calcId="171027"/>
</workbook>
</file>

<file path=xl/sharedStrings.xml><?xml version="1.0" encoding="utf-8"?>
<sst xmlns="http://schemas.openxmlformats.org/spreadsheetml/2006/main" count="64" uniqueCount="44">
  <si>
    <t>Account</t>
  </si>
  <si>
    <t>Date</t>
  </si>
  <si>
    <t>Description</t>
  </si>
  <si>
    <t>Debit (Spend)</t>
  </si>
  <si>
    <t>Credit (Income)</t>
  </si>
  <si>
    <t>Net</t>
  </si>
  <si>
    <t>Subcategory</t>
  </si>
  <si>
    <t>Category</t>
  </si>
  <si>
    <t>Checking</t>
  </si>
  <si>
    <t>2026-01-01</t>
  </si>
  <si>
    <t>Opening balance</t>
  </si>
  <si>
    <t>Salary</t>
  </si>
  <si>
    <t>Income</t>
  </si>
  <si>
    <t>2026-01-02</t>
  </si>
  <si>
    <t>Fresh market</t>
  </si>
  <si>
    <t>Groceries</t>
  </si>
  <si>
    <t>Living</t>
  </si>
  <si>
    <t>Credit</t>
  </si>
  <si>
    <t>2026-01-03</t>
  </si>
  <si>
    <t>Coffee shop</t>
  </si>
  <si>
    <t>Coffee</t>
  </si>
  <si>
    <t>Dining</t>
  </si>
  <si>
    <t>2026-01-04</t>
  </si>
  <si>
    <t>Apartment</t>
  </si>
  <si>
    <t>Rent</t>
  </si>
  <si>
    <t>2026-01-05</t>
  </si>
  <si>
    <t>Fuel station</t>
  </si>
  <si>
    <t>Fuel</t>
  </si>
  <si>
    <t>Transport</t>
  </si>
  <si>
    <t>2026-01-06</t>
  </si>
  <si>
    <t>Client payment</t>
  </si>
  <si>
    <t>Side hustle</t>
  </si>
  <si>
    <t>2026-01-07</t>
  </si>
  <si>
    <t>2026-01-08</t>
  </si>
  <si>
    <t>Gym membership</t>
  </si>
  <si>
    <t>Gym</t>
  </si>
  <si>
    <t>Health</t>
  </si>
  <si>
    <t>2026-01-09</t>
  </si>
  <si>
    <t>2026-01-10</t>
  </si>
  <si>
    <t>Phone bill</t>
  </si>
  <si>
    <t>Phone</t>
  </si>
  <si>
    <t>2026-01-11</t>
  </si>
  <si>
    <t>Restaurant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</si>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</sst>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CA91A6"/>
      </patternFill>
    </fill>
    <fill>
      <patternFill patternType="solid">
        <fgColor rgb="FFFFFFFF"/>
      </patternFill>
    </fill>
    <fill>
      <patternFill patternType="solid">
        <fgColor rgb="FFF4E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4" fontId="0" fillId="3" borderId="0" xfId="0" applyNumberFormat="1" applyFill="1"/>
    <xf numFmtId="0" fontId="0" fillId="4" borderId="0" xfId="0" applyFill="1"/>
    <xf numFmtId="4" fontId="0" fillId="4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857142857142858" customWidth="1"/>
    <col min="2" max="2" width="12.571428571428571" customWidth="1"/>
    <col min="3" max="3" width="17.857142857142858" customWidth="1"/>
    <col min="4" max="4" width="16.428571428571427" customWidth="1"/>
    <col min="5" max="5" width="18.142857142857142" customWidth="1"/>
    <col min="6" max="6" width="11.857142857142858" customWidth="1"/>
    <col min="7" max="7" width="15.428571428571429" customWidth="1"/>
    <col min="8" max="8" width="11.85714285714285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0</v>
      </c>
      <c r="E2" s="3">
        <v>2057</v>
      </c>
      <c r="F2" s="3">
        <f>E2-D2</f>
        <v>2057</v>
      </c>
      <c r="G2" s="2" t="s">
        <v>11</v>
      </c>
      <c r="H2" s="2" t="s">
        <v>12</v>
      </c>
    </row>
    <row r="3" spans="1:8" x14ac:dyDescent="0.25">
      <c r="A3" s="4" t="s">
        <v>8</v>
      </c>
      <c r="B3" s="4" t="s">
        <v>13</v>
      </c>
      <c r="C3" s="4" t="s">
        <v>14</v>
      </c>
      <c r="D3" s="5">
        <v>65.5</v>
      </c>
      <c r="E3" s="5">
        <v>0</v>
      </c>
      <c r="F3" s="5">
        <f>E3-D3</f>
        <v>-65.5</v>
      </c>
      <c r="G3" s="4" t="s">
        <v>15</v>
      </c>
      <c r="H3" s="4" t="s">
        <v>16</v>
      </c>
    </row>
    <row r="4" spans="1:8" x14ac:dyDescent="0.25">
      <c r="A4" s="2" t="s">
        <v>17</v>
      </c>
      <c r="B4" s="2" t="s">
        <v>18</v>
      </c>
      <c r="C4" s="2" t="s">
        <v>19</v>
      </c>
      <c r="D4" s="3">
        <v>5</v>
      </c>
      <c r="E4" s="3">
        <v>0</v>
      </c>
      <c r="F4" s="3">
        <f>E4-D4</f>
        <v>-5</v>
      </c>
      <c r="G4" s="2" t="s">
        <v>20</v>
      </c>
      <c r="H4" s="2" t="s">
        <v>21</v>
      </c>
    </row>
    <row r="5" spans="1:8" x14ac:dyDescent="0.25">
      <c r="A5" s="4" t="s">
        <v>8</v>
      </c>
      <c r="B5" s="4" t="s">
        <v>22</v>
      </c>
      <c r="C5" s="4" t="s">
        <v>23</v>
      </c>
      <c r="D5" s="5">
        <v>950</v>
      </c>
      <c r="E5" s="5">
        <v>0</v>
      </c>
      <c r="F5" s="5">
        <f>E5-D5</f>
        <v>-950</v>
      </c>
      <c r="G5" s="4" t="s">
        <v>24</v>
      </c>
      <c r="H5" s="4" t="s">
        <v>16</v>
      </c>
    </row>
    <row r="6" spans="1:8" x14ac:dyDescent="0.25">
      <c r="A6" s="2" t="s">
        <v>17</v>
      </c>
      <c r="B6" s="2" t="s">
        <v>25</v>
      </c>
      <c r="C6" s="2" t="s">
        <v>26</v>
      </c>
      <c r="D6" s="3">
        <v>55</v>
      </c>
      <c r="E6" s="3">
        <v>0</v>
      </c>
      <c r="F6" s="3">
        <f>E6-D6</f>
        <v>-55</v>
      </c>
      <c r="G6" s="2" t="s">
        <v>27</v>
      </c>
      <c r="H6" s="2" t="s">
        <v>28</v>
      </c>
    </row>
    <row r="7" spans="1:8" x14ac:dyDescent="0.25">
      <c r="A7" s="4" t="s">
        <v>8</v>
      </c>
      <c r="B7" s="4" t="s">
        <v>29</v>
      </c>
      <c r="C7" s="4" t="s">
        <v>30</v>
      </c>
      <c r="D7" s="5">
        <v>0</v>
      </c>
      <c r="E7" s="5">
        <v>1200</v>
      </c>
      <c r="F7" s="5">
        <f>E7-D7</f>
        <v>1200</v>
      </c>
      <c r="G7" s="4" t="s">
        <v>31</v>
      </c>
      <c r="H7" s="4" t="s">
        <v>12</v>
      </c>
    </row>
    <row r="8" spans="1:8" x14ac:dyDescent="0.25">
      <c r="A8" s="2" t="s">
        <v>17</v>
      </c>
      <c r="B8" s="2" t="s">
        <v>32</v>
      </c>
      <c r="C8" s="2" t="s">
        <v>14</v>
      </c>
      <c r="D8" s="3">
        <v>81.25</v>
      </c>
      <c r="E8" s="3">
        <v>0</v>
      </c>
      <c r="F8" s="3">
        <f>E8-D8</f>
        <v>-81.25</v>
      </c>
      <c r="G8" s="2" t="s">
        <v>15</v>
      </c>
      <c r="H8" s="2" t="s">
        <v>16</v>
      </c>
    </row>
    <row r="9" spans="1:8" x14ac:dyDescent="0.25">
      <c r="A9" s="4" t="s">
        <v>8</v>
      </c>
      <c r="B9" s="4" t="s">
        <v>33</v>
      </c>
      <c r="C9" s="4" t="s">
        <v>34</v>
      </c>
      <c r="D9" s="5">
        <v>35</v>
      </c>
      <c r="E9" s="5">
        <v>0</v>
      </c>
      <c r="F9" s="5">
        <f>E9-D9</f>
        <v>-35</v>
      </c>
      <c r="G9" s="4" t="s">
        <v>35</v>
      </c>
      <c r="H9" s="4" t="s">
        <v>36</v>
      </c>
    </row>
    <row r="10" spans="1:8" x14ac:dyDescent="0.25">
      <c r="A10" s="2" t="s">
        <v>17</v>
      </c>
      <c r="B10" s="2" t="s">
        <v>37</v>
      </c>
      <c r="C10" s="2" t="s">
        <v>19</v>
      </c>
      <c r="D10" s="3">
        <v>4.5</v>
      </c>
      <c r="E10" s="3">
        <v>0</v>
      </c>
      <c r="F10" s="3">
        <f>E10-D10</f>
        <v>-4.5</v>
      </c>
      <c r="G10" s="2" t="s">
        <v>20</v>
      </c>
      <c r="H10" s="2" t="s">
        <v>21</v>
      </c>
    </row>
    <row r="11" spans="1:8" x14ac:dyDescent="0.25">
      <c r="A11" s="4" t="s">
        <v>8</v>
      </c>
      <c r="B11" s="4" t="s">
        <v>38</v>
      </c>
      <c r="C11" s="4" t="s">
        <v>39</v>
      </c>
      <c r="D11" s="5">
        <v>48</v>
      </c>
      <c r="E11" s="5">
        <v>0</v>
      </c>
      <c r="F11" s="5">
        <f>E11-D11</f>
        <v>-48</v>
      </c>
      <c r="G11" s="4" t="s">
        <v>40</v>
      </c>
      <c r="H11" s="4" t="s">
        <v>16</v>
      </c>
    </row>
    <row r="12" spans="1:8" x14ac:dyDescent="0.25">
      <c r="A12" s="2" t="s">
        <v>17</v>
      </c>
      <c r="B12" s="2" t="s">
        <v>41</v>
      </c>
      <c r="C12" s="2" t="s">
        <v>42</v>
      </c>
      <c r="D12" s="3">
        <v>42.75</v>
      </c>
      <c r="E12" s="3">
        <v>0</v>
      </c>
      <c r="F12" s="3">
        <f>E12-D12</f>
        <v>-42.75</v>
      </c>
      <c r="G12" s="2" t="s">
        <v>42</v>
      </c>
      <c r="H12" s="2" t="s">
        <v>21</v>
      </c>
    </row>
    <row r="13" spans="1:6" x14ac:dyDescent="0.25">
      <c r="A13" t="s">
        <v>43</v>
      </c>
      <c r="D13" s="6">
        <f>SUM(D2:D12)</f>
        <v>1287</v>
      </c>
      <c r="E13" s="6">
        <f>SUM(E2:E12)</f>
        <v>3257</v>
      </c>
      <c r="F13" s="6">
        <f>SUM(F2:F12)</f>
        <v>1970</v>
      </c>
    </row>
    <row r="14" spans="4:4" x14ac:dyDescent="0.25">
      <c r="D14">
        <f>SUM(Expenses)</f>
        <v>1287</v>
      </c>
    </row>
  </sheetData>
  <autoFilter ref="A1:H12"/>
  <dataValidations count="2">
    <dataValidation type="list" allowBlank="1" showErrorMessage="1" errorStyle="stop" error="Choose a value from the dropdown list." sqref="G10:G12">
      <formula1>"Salary,Groceries,Coffee,Rent,Fuel,Side hustle,Gym,Phone,Restaurant"</formula1>
    </dataValidation>
    <dataValidation type="list" allowBlank="1" showErrorMessage="1" errorStyle="stop" error="Choose a value from the dropdown list." sqref="G2:G12">
      <formula1>"Salary,Groceries,Coffee,Rent,Fuel,Side hustle,Gym,Phone,Restaurant"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Chili3D</dc:creator>
  <dc:title/>
  <dc:subject/>
  <dc:description/>
  <cp:keywords/>
  <cp:category/>
  <cp:lastModifiedBy>Unknown</cp:lastModifiedBy>
  <dcterms:created xsi:type="dcterms:W3CDTF">2026-10-09T00:14:55Z</dcterms:created>
  <dcterms:modified xsi:type="dcterms:W3CDTF">2026-10-09T00:14:55Z</dcterms:modified>
</cp:coreProperties>
</file>